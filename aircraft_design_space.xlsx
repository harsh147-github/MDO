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Variables" sheetId="1" state="visible" r:id="rId3"/>
    <sheet name="DOE Settings" sheetId="2" state="visible" r:id="rId4"/>
    <sheet name="Constraint Filters" sheetId="3" state="visible" r:id="rId5"/>
    <sheet name="README" sheetId="4" state="visible" r:id="rId6"/>
  </sheets>
  <definedNames>
    <definedName function="false" hidden="true" localSheetId="0" name="_xlnm._FilterDatabase" vbProcedure="false">'Design Variables'!$A$1:$N$1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<sst xmlns="http://schemas.openxmlformats.org/spreadsheetml/2006/main" count="431" uniqueCount="283">
  <si>
    <t xml:space="preserve">ID</t>
  </si>
  <si>
    <t xml:space="preserve">Category</t>
  </si>
  <si>
    <t xml:space="preserve">Variable Name</t>
  </si>
  <si>
    <t xml:space="preserve">Python Key</t>
  </si>
  <si>
    <t xml:space="preserve">Description</t>
  </si>
  <si>
    <t xml:space="preserve">Lower Bound</t>
  </si>
  <si>
    <t xml:space="preserve">Baseline</t>
  </si>
  <si>
    <t xml:space="preserve">Upper Bound</t>
  </si>
  <si>
    <t xml:space="preserve">Unit</t>
  </si>
  <si>
    <t xml:space="preserve">Scale Type</t>
  </si>
  <si>
    <t xml:space="preserve">Active?</t>
  </si>
  <si>
    <t xml:space="preserve">Range Span</t>
  </si>
  <si>
    <t xml:space="preserve">Normalised Baseline</t>
  </si>
  <si>
    <t xml:space="preserve">Notes</t>
  </si>
  <si>
    <t xml:space="preserve">Wing Planform</t>
  </si>
  <si>
    <t xml:space="preserve">Wingspan</t>
  </si>
  <si>
    <t xml:space="preserve">wing_span</t>
  </si>
  <si>
    <t xml:space="preserve">Tip-to-tip wingspan</t>
  </si>
  <si>
    <t xml:space="preserve">m</t>
  </si>
  <si>
    <t xml:space="preserve">Linear</t>
  </si>
  <si>
    <t xml:space="preserve">YES</t>
  </si>
  <si>
    <t xml:space="preserve">Constrained by airport gate (ICAO Code C ≤36m)</t>
  </si>
  <si>
    <t xml:space="preserve">Wing Area</t>
  </si>
  <si>
    <t xml:space="preserve">wing_area</t>
  </si>
  <si>
    <t xml:space="preserve">Reference wing area (Sref)</t>
  </si>
  <si>
    <t xml:space="preserve">m²</t>
  </si>
  <si>
    <t xml:space="preserve">Drives wing loading</t>
  </si>
  <si>
    <t xml:space="preserve">Aspect Ratio</t>
  </si>
  <si>
    <t xml:space="preserve">wing_AR</t>
  </si>
  <si>
    <t xml:space="preserve">Wingspan² / Sref</t>
  </si>
  <si>
    <t xml:space="preserve">—</t>
  </si>
  <si>
    <t xml:space="preserve">Higher = less induced drag, more flex</t>
  </si>
  <si>
    <t xml:space="preserve">Taper Ratio</t>
  </si>
  <si>
    <t xml:space="preserve">wing_taper</t>
  </si>
  <si>
    <t xml:space="preserve">Tip chord / root chord</t>
  </si>
  <si>
    <t xml:space="preserve">Affects spanwise lift distribution</t>
  </si>
  <si>
    <t xml:space="preserve">Sweep Angle (LE)</t>
  </si>
  <si>
    <t xml:space="preserve">wing_sweep_LE</t>
  </si>
  <si>
    <t xml:space="preserve">Leading-edge sweep</t>
  </si>
  <si>
    <t xml:space="preserve">deg</t>
  </si>
  <si>
    <t xml:space="preserve">Trade: Mcrit vs low-speed CLmax</t>
  </si>
  <si>
    <t xml:space="preserve">Dihedral Angle</t>
  </si>
  <si>
    <t xml:space="preserve">wing_dihedral</t>
  </si>
  <si>
    <t xml:space="preserve">Wing dihedral for roll stability</t>
  </si>
  <si>
    <t xml:space="preserve">Swept wings need less dihedral</t>
  </si>
  <si>
    <t xml:space="preserve">Wing Twist (root)</t>
  </si>
  <si>
    <t xml:space="preserve">wing_twist_root</t>
  </si>
  <si>
    <t xml:space="preserve">Incidence angle at root</t>
  </si>
  <si>
    <t xml:space="preserve">Set for cruise CL</t>
  </si>
  <si>
    <t xml:space="preserve">Wing Twist (tip)</t>
  </si>
  <si>
    <t xml:space="preserve">wing_twist_tip</t>
  </si>
  <si>
    <t xml:space="preserve">Washout at tip (negative = washout)</t>
  </si>
  <si>
    <t xml:space="preserve">Delays tip stall</t>
  </si>
  <si>
    <t xml:space="preserve">Kink Location (η)</t>
  </si>
  <si>
    <t xml:space="preserve">wing_kink_eta</t>
  </si>
  <si>
    <t xml:space="preserve">Spanwise fraction of crank/kink</t>
  </si>
  <si>
    <t xml:space="preserve">Where trailing edge breaks for flap</t>
  </si>
  <si>
    <t xml:space="preserve">Wing Vertical Pos</t>
  </si>
  <si>
    <t xml:space="preserve">wing_z_pos</t>
  </si>
  <si>
    <t xml:space="preserve">Vertical position on fuselage (0=low, 1=high)</t>
  </si>
  <si>
    <t xml:space="preserve">Discrete</t>
  </si>
  <si>
    <t xml:space="preserve">0=low-wing, 0.5=mid, 1=high</t>
  </si>
  <si>
    <t xml:space="preserve">Airfoil</t>
  </si>
  <si>
    <t xml:space="preserve">Root t/c</t>
  </si>
  <si>
    <t xml:space="preserve">airfoil_tc_root</t>
  </si>
  <si>
    <t xml:space="preserve">Thickness-to-chord ratio at root</t>
  </si>
  <si>
    <t xml:space="preserve">Thicker = more fuel vol &amp; structure</t>
  </si>
  <si>
    <t xml:space="preserve">Tip t/c</t>
  </si>
  <si>
    <t xml:space="preserve">airfoil_tc_tip</t>
  </si>
  <si>
    <t xml:space="preserve">Thickness-to-chord ratio at tip</t>
  </si>
  <si>
    <t xml:space="preserve">Thinner tip for aero efficiency</t>
  </si>
  <si>
    <t xml:space="preserve">Root Camber</t>
  </si>
  <si>
    <t xml:space="preserve">airfoil_camber_root</t>
  </si>
  <si>
    <t xml:space="preserve">Max camber as fraction of chord</t>
  </si>
  <si>
    <t xml:space="preserve">Affects CLmax and Cm0</t>
  </si>
  <si>
    <t xml:space="preserve">Design CL</t>
  </si>
  <si>
    <t xml:space="preserve">airfoil_CL_design</t>
  </si>
  <si>
    <t xml:space="preserve">Target CL for airfoil shaping</t>
  </si>
  <si>
    <t xml:space="preserve">Cruise CL target</t>
  </si>
  <si>
    <t xml:space="preserve">Fuselage</t>
  </si>
  <si>
    <t xml:space="preserve">Fuselage Length</t>
  </si>
  <si>
    <t xml:space="preserve">fuse_length</t>
  </si>
  <si>
    <t xml:space="preserve">Overall fuselage length</t>
  </si>
  <si>
    <t xml:space="preserve">Driven by passenger capacity</t>
  </si>
  <si>
    <t xml:space="preserve">Fuselage Diameter</t>
  </si>
  <si>
    <t xml:space="preserve">fuse_diameter</t>
  </si>
  <si>
    <t xml:space="preserve">Maximum external diameter</t>
  </si>
  <si>
    <t xml:space="preserve">Single vs twin aisle</t>
  </si>
  <si>
    <t xml:space="preserve">Nose Fineness</t>
  </si>
  <si>
    <t xml:space="preserve">fuse_nose_fine</t>
  </si>
  <si>
    <t xml:space="preserve">Nose length / diameter</t>
  </si>
  <si>
    <t xml:space="preserve">Drag vs cockpit visibility</t>
  </si>
  <si>
    <t xml:space="preserve">Tail Fineness</t>
  </si>
  <si>
    <t xml:space="preserve">fuse_tail_fine</t>
  </si>
  <si>
    <t xml:space="preserve">Tail-cone length / diameter</t>
  </si>
  <si>
    <t xml:space="preserve">Upsweep angle for rotation clearance</t>
  </si>
  <si>
    <t xml:space="preserve">Fuselage Upsweep</t>
  </si>
  <si>
    <t xml:space="preserve">fuse_upsweep</t>
  </si>
  <si>
    <t xml:space="preserve">Tail upsweep angle</t>
  </si>
  <si>
    <t xml:space="preserve">Clearance vs drag penalty</t>
  </si>
  <si>
    <t xml:space="preserve">Empennage</t>
  </si>
  <si>
    <t xml:space="preserve">HT Volume Coeff</t>
  </si>
  <si>
    <t xml:space="preserve">HT_vol_coeff</t>
  </si>
  <si>
    <t xml:space="preserve">Horizontal tail volume coefficient</t>
  </si>
  <si>
    <t xml:space="preserve">Stability &amp; control sizing</t>
  </si>
  <si>
    <t xml:space="preserve">VT Volume Coeff</t>
  </si>
  <si>
    <t xml:space="preserve">VT_vol_coeff</t>
  </si>
  <si>
    <t xml:space="preserve">Vertical tail volume coefficient</t>
  </si>
  <si>
    <t xml:space="preserve">OEI yaw control</t>
  </si>
  <si>
    <t xml:space="preserve">HT Sweep</t>
  </si>
  <si>
    <t xml:space="preserve">HT_sweep</t>
  </si>
  <si>
    <t xml:space="preserve">Horizontal tail sweep angle</t>
  </si>
  <si>
    <t xml:space="preserve">Usually &gt; wing sweep</t>
  </si>
  <si>
    <t xml:space="preserve">VT Sweep</t>
  </si>
  <si>
    <t xml:space="preserve">VT_sweep</t>
  </si>
  <si>
    <t xml:space="preserve">Vertical tail sweep angle</t>
  </si>
  <si>
    <t xml:space="preserve">Structural &amp; flutter consideration</t>
  </si>
  <si>
    <t xml:space="preserve">HT Aspect Ratio</t>
  </si>
  <si>
    <t xml:space="preserve">HT_AR</t>
  </si>
  <si>
    <t xml:space="preserve">Horizontal tail aspect ratio</t>
  </si>
  <si>
    <t xml:space="preserve">Lower than wing AR typically</t>
  </si>
  <si>
    <t xml:space="preserve">Tail Arm Fraction</t>
  </si>
  <si>
    <t xml:space="preserve">tail_arm_frac</t>
  </si>
  <si>
    <t xml:space="preserve">Tail arm / fuselage length</t>
  </si>
  <si>
    <t xml:space="preserve">Longer arm = smaller tail = less drag</t>
  </si>
  <si>
    <t xml:space="preserve">Engine/Nacelle</t>
  </si>
  <si>
    <t xml:space="preserve">Bypass Ratio</t>
  </si>
  <si>
    <t xml:space="preserve">eng_BPR</t>
  </si>
  <si>
    <t xml:space="preserve">Engine bypass ratio</t>
  </si>
  <si>
    <t xml:space="preserve">Higher BPR = better SFC, larger nacelle</t>
  </si>
  <si>
    <t xml:space="preserve">Engine SFC (cruise)</t>
  </si>
  <si>
    <t xml:space="preserve">eng_SFC_cr</t>
  </si>
  <si>
    <t xml:space="preserve">Specific fuel consumption at cruise</t>
  </si>
  <si>
    <t xml:space="preserve">lb/lbf/hr</t>
  </si>
  <si>
    <t xml:space="preserve">Key for range/fuel burn</t>
  </si>
  <si>
    <t xml:space="preserve">Nacelle Diameter</t>
  </si>
  <si>
    <t xml:space="preserve">nac_diameter</t>
  </si>
  <si>
    <t xml:space="preserve">Fan diameter / nacelle OD</t>
  </si>
  <si>
    <t xml:space="preserve">Linked to BPR &amp; thrust class</t>
  </si>
  <si>
    <t xml:space="preserve">Engine Spanwise Pos</t>
  </si>
  <si>
    <t xml:space="preserve">eng_eta</t>
  </si>
  <si>
    <t xml:space="preserve">Spanwise fraction of engine on wing</t>
  </si>
  <si>
    <t xml:space="preserve">Inboard = less flutter, more yaw moment</t>
  </si>
  <si>
    <t xml:space="preserve">Number of Engines</t>
  </si>
  <si>
    <t xml:space="preserve">n_engines</t>
  </si>
  <si>
    <t xml:space="preserve">Number of engines</t>
  </si>
  <si>
    <t xml:space="preserve">2 or 4; most modern = 2</t>
  </si>
  <si>
    <t xml:space="preserve">Mission/Weights</t>
  </si>
  <si>
    <t xml:space="preserve">Design Range</t>
  </si>
  <si>
    <t xml:space="preserve">design_range</t>
  </si>
  <si>
    <t xml:space="preserve">Design mission range</t>
  </si>
  <si>
    <t xml:space="preserve">nmi</t>
  </si>
  <si>
    <t xml:space="preserve">Drives fuel fraction &amp; MTOW</t>
  </si>
  <si>
    <t xml:space="preserve">Cruise Mach</t>
  </si>
  <si>
    <t xml:space="preserve">cruise_mach</t>
  </si>
  <si>
    <t xml:space="preserve">Cruise Mach number</t>
  </si>
  <si>
    <t xml:space="preserve">Trade: speed vs wave drag</t>
  </si>
  <si>
    <t xml:space="preserve">Cruise Altitude</t>
  </si>
  <si>
    <t xml:space="preserve">cruise_alt</t>
  </si>
  <si>
    <t xml:space="preserve">Initial cruise altitude</t>
  </si>
  <si>
    <t xml:space="preserve">ft</t>
  </si>
  <si>
    <t xml:space="preserve">Higher = less drag, engine limits</t>
  </si>
  <si>
    <t xml:space="preserve">Payload</t>
  </si>
  <si>
    <t xml:space="preserve">payload</t>
  </si>
  <si>
    <t xml:space="preserve">Design payload mass</t>
  </si>
  <si>
    <t xml:space="preserve">kg</t>
  </si>
  <si>
    <t xml:space="preserve">Passengers + cargo</t>
  </si>
  <si>
    <t xml:space="preserve">SUMMARY</t>
  </si>
  <si>
    <t xml:space="preserve">Total Active Variables:</t>
  </si>
  <si>
    <t xml:space="preserve">Total Variables Defined:</t>
  </si>
  <si>
    <t xml:space="preserve">Parameter</t>
  </si>
  <si>
    <t xml:space="preserve">Value</t>
  </si>
  <si>
    <t xml:space="preserve">Sampling Method</t>
  </si>
  <si>
    <t xml:space="preserve">LHS</t>
  </si>
  <si>
    <t xml:space="preserve">Latin Hypercube Sampling (recommended)</t>
  </si>
  <si>
    <t xml:space="preserve">Number of Samples (M)</t>
  </si>
  <si>
    <t xml:space="preserve">Total DOE samples to generate (500–1000)</t>
  </si>
  <si>
    <t xml:space="preserve">Random Seed</t>
  </si>
  <si>
    <t xml:space="preserve">For reproducibility</t>
  </si>
  <si>
    <t xml:space="preserve">Criterion</t>
  </si>
  <si>
    <t xml:space="preserve">maximin</t>
  </si>
  <si>
    <t xml:space="preserve">LHS optimality: maximin, centermaximin, correlation</t>
  </si>
  <si>
    <t xml:space="preserve">— CONSTRAINT FILTERS —</t>
  </si>
  <si>
    <t xml:space="preserve">Min Static Margin (%MAC)</t>
  </si>
  <si>
    <t xml:space="preserve">Forward CG limit → nose-down stability</t>
  </si>
  <si>
    <t xml:space="preserve">Max Static Margin (%MAC)</t>
  </si>
  <si>
    <t xml:space="preserve">Aft CG limit → avoid over-stability</t>
  </si>
  <si>
    <t xml:space="preserve">Min Wing Loading (kg/m²)</t>
  </si>
  <si>
    <t xml:space="preserve">Landing/takeoff performance</t>
  </si>
  <si>
    <t xml:space="preserve">Max Wing Loading (kg/m²)</t>
  </si>
  <si>
    <t xml:space="preserve">Structural &amp; gust load limit</t>
  </si>
  <si>
    <t xml:space="preserve">Min T/W Ratio</t>
  </si>
  <si>
    <t xml:space="preserve">Takeoff &amp; climb requirement</t>
  </si>
  <si>
    <t xml:space="preserve">Max T/W Ratio</t>
  </si>
  <si>
    <t xml:space="preserve">Engine sizing practical range</t>
  </si>
  <si>
    <t xml:space="preserve">Min Fuel Volume Fraction</t>
  </si>
  <si>
    <t xml:space="preserve">Fuel must fit in wing box (ratio to required)</t>
  </si>
  <si>
    <t xml:space="preserve">Max Aspect Ratio / cos(sweep)</t>
  </si>
  <si>
    <t xml:space="preserve">Flutter / aeroelastic constraint proxy</t>
  </si>
  <si>
    <t xml:space="preserve">Min CLmax (clean)</t>
  </si>
  <si>
    <t xml:space="preserve">Approach speed constraint</t>
  </si>
  <si>
    <t xml:space="preserve">Oswald Efficiency Floor</t>
  </si>
  <si>
    <t xml:space="preserve">Reject unrealistically bad configs</t>
  </si>
  <si>
    <t xml:space="preserve">— OUTPUT SETTINGS —</t>
  </si>
  <si>
    <t xml:space="preserve">Output Format</t>
  </si>
  <si>
    <t xml:space="preserve">CSV + XLSX</t>
  </si>
  <si>
    <t xml:space="preserve">DOE matrix export format</t>
  </si>
  <si>
    <t xml:space="preserve">Shortlist Size Target (N)</t>
  </si>
  <si>
    <t xml:space="preserve">Target feasible candidates after filtering</t>
  </si>
  <si>
    <t xml:space="preserve">Constraint Name</t>
  </si>
  <si>
    <t xml:space="preserve">Type</t>
  </si>
  <si>
    <t xml:space="preserve">Formula / Logic</t>
  </si>
  <si>
    <t xml:space="preserve">Threshold</t>
  </si>
  <si>
    <t xml:space="preserve">Kill if Violated?</t>
  </si>
  <si>
    <t xml:space="preserve">Priority</t>
  </si>
  <si>
    <t xml:space="preserve">Static Margin Range</t>
  </si>
  <si>
    <t xml:space="preserve">Stability</t>
  </si>
  <si>
    <t xml:space="preserve">SM = (x_ac - x_cg) / MAC; must be 5–25%</t>
  </si>
  <si>
    <t xml:space="preserve">5–25</t>
  </si>
  <si>
    <t xml:space="preserve">%MAC</t>
  </si>
  <si>
    <t xml:space="preserve">Wing Loading Bounds</t>
  </si>
  <si>
    <t xml:space="preserve">Performance</t>
  </si>
  <si>
    <t xml:space="preserve">W/S = MTOW / Sref</t>
  </si>
  <si>
    <t xml:space="preserve">300–700</t>
  </si>
  <si>
    <t xml:space="preserve">kg/m²</t>
  </si>
  <si>
    <t xml:space="preserve">Fuel Volume Feasibility</t>
  </si>
  <si>
    <t xml:space="preserve">Geometry</t>
  </si>
  <si>
    <t xml:space="preserve">V_fuel_available / V_fuel_required ≥ 0.85</t>
  </si>
  <si>
    <t xml:space="preserve">≥ 0.85</t>
  </si>
  <si>
    <t xml:space="preserve">Tip Stall Margin</t>
  </si>
  <si>
    <t xml:space="preserve">Aero</t>
  </si>
  <si>
    <t xml:space="preserve">CL_tip / CL_root &lt; 0.95 (washout check)</t>
  </si>
  <si>
    <t xml:space="preserve">&lt; 0.95</t>
  </si>
  <si>
    <t xml:space="preserve">Approach Speed</t>
  </si>
  <si>
    <t xml:space="preserve">V_app = √(2·W/(ρ·S·CLmax)) ≤ 140 kts</t>
  </si>
  <si>
    <t xml:space="preserve">≤ 140</t>
  </si>
  <si>
    <t xml:space="preserve">kts</t>
  </si>
  <si>
    <t xml:space="preserve">Thrust-to-Weight</t>
  </si>
  <si>
    <t xml:space="preserve">T/W within 0.25–0.40</t>
  </si>
  <si>
    <t xml:space="preserve">0.25–0.40</t>
  </si>
  <si>
    <t xml:space="preserve">Aeroelastic Proxy</t>
  </si>
  <si>
    <t xml:space="preserve">Structural</t>
  </si>
  <si>
    <t xml:space="preserve">AR / cos(Λ_LE) ≤ 14</t>
  </si>
  <si>
    <t xml:space="preserve">≤ 14</t>
  </si>
  <si>
    <t xml:space="preserve">Volume Interference</t>
  </si>
  <si>
    <t xml:space="preserve">No nacelle/fuselage/gear clash</t>
  </si>
  <si>
    <t xml:space="preserve">Boolean</t>
  </si>
  <si>
    <t xml:space="preserve">Oswald Efficiency</t>
  </si>
  <si>
    <t xml:space="preserve">e ≥ 0.70 (from low-fidelity estimate)</t>
  </si>
  <si>
    <t xml:space="preserve">≥ 0.70</t>
  </si>
  <si>
    <t xml:space="preserve">NO</t>
  </si>
  <si>
    <t xml:space="preserve">Range Feasibility</t>
  </si>
  <si>
    <t xml:space="preserve">Mission</t>
  </si>
  <si>
    <t xml:space="preserve">Breguet range ≥ design_range</t>
  </si>
  <si>
    <t xml:space="preserve">≥ Rdesign</t>
  </si>
  <si>
    <t xml:space="preserve">Rotation Clearance</t>
  </si>
  <si>
    <t xml:space="preserve">Tail strike angle ≥ 12°</t>
  </si>
  <si>
    <t xml:space="preserve">≥ 12</t>
  </si>
  <si>
    <t xml:space="preserve">Balanced Field Length</t>
  </si>
  <si>
    <t xml:space="preserve">BFL ≤ 2500m (for design airports)</t>
  </si>
  <si>
    <t xml:space="preserve">≤ 2500</t>
  </si>
  <si>
    <t xml:space="preserve">AIRCRAFT MDO DESIGN SPACE — QUICK REFERENCE</t>
  </si>
  <si>
    <t xml:space="preserve">HOW TO USE THIS WORKBOOK</t>
  </si>
  <si>
    <t xml:space="preserve">1. EDIT DESIGN VARIABLES (Sheet: Design Variables)</t>
  </si>
  <si>
    <t xml:space="preserve">   → Blue cells with yellow background are YOUR inputs</t>
  </si>
  <si>
    <t xml:space="preserve">   → Modify Lower Bound, Baseline, Upper Bound as needed</t>
  </si>
  <si>
    <t xml:space="preserve">   → Set Active? to NO to freeze a variable at its Baseline</t>
  </si>
  <si>
    <t xml:space="preserve">   → Python Key column = exact variable name used in scripts</t>
  </si>
  <si>
    <t xml:space="preserve">2. CONFIGURE DOE (Sheet: DOE Settings)</t>
  </si>
  <si>
    <t xml:space="preserve">   → Set number of samples (500 for fast, 1000 for thorough)</t>
  </si>
  <si>
    <t xml:space="preserve">   → Adjust constraint thresholds for your aircraft class</t>
  </si>
  <si>
    <t xml:space="preserve">3. REVIEW CONSTRAINTS (Sheet: Constraint Filters)</t>
  </si>
  <si>
    <t xml:space="preserve">   → Kill if Violated = YES means instant discard</t>
  </si>
  <si>
    <t xml:space="preserve">   → Priority 1 = most critical, 3 = nice to have</t>
  </si>
  <si>
    <t xml:space="preserve">4. RUN THE PIPELINE</t>
  </si>
  <si>
    <t xml:space="preserve">   → python 01_generate_doe.py       # reads this spreadsheet</t>
  </si>
  <si>
    <t xml:space="preserve">   → python 02_geometry_and_aero.py   # builds geometry + runs VLM</t>
  </si>
  <si>
    <t xml:space="preserve">   → python 03_filter_candidates.py   # applies constraints</t>
  </si>
  <si>
    <t xml:space="preserve">   → Output: shortlist.csv with N=50-100 feasible candidates</t>
  </si>
  <si>
    <t xml:space="preserve">COLOR CODE:</t>
  </si>
  <si>
    <t xml:space="preserve">   Blue text + Yellow fill = EDITABLE INPUT</t>
  </si>
  <si>
    <t xml:space="preserve">   Black text = Formula / calculated (do not edit)</t>
  </si>
  <si>
    <t xml:space="preserve">   Grey text = Description / notes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</si>
</sst>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%"/>
    <numFmt numFmtId="167" formatCode="0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55555"/>
      <name val="Arial Narrow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F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42"/>
    <col collapsed="false" customWidth="true" hidden="false" outlineLevel="0" max="8" min="6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3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3" t="s">
        <v>14</v>
      </c>
      <c r="C2" s="4" t="s">
        <v>15</v>
      </c>
      <c r="D2" s="5" t="s">
        <v>16</v>
      </c>
      <c r="E2" s="6" t="s">
        <v>17</v>
      </c>
      <c r="F2" s="7" t="n">
        <v>28</v>
      </c>
      <c r="G2" s="7" t="n">
        <v>35</v>
      </c>
      <c r="H2" s="7" t="n">
        <v>45</v>
      </c>
      <c r="I2" s="2" t="s">
        <v>18</v>
      </c>
      <c r="J2" s="2" t="s">
        <v>19</v>
      </c>
      <c r="K2" s="8" t="s">
        <v>20</v>
      </c>
      <c r="L2" s="9" t="n">
        <f aca="false">H2-F2</f>
        <v>17</v>
      </c>
      <c r="M2" s="10" t="n">
        <f aca="false">IF(L2=0, 0.5, (G2-F2)/L2)</f>
        <v>0.411764705882353</v>
      </c>
      <c r="N2" s="11" t="s">
        <v>21</v>
      </c>
    </row>
    <row r="3" customFormat="false" ht="15" hidden="false" customHeight="false" outlineLevel="0" collapsed="false">
      <c r="A3" s="2" t="n">
        <v>2</v>
      </c>
      <c r="B3" s="3" t="s">
        <v>14</v>
      </c>
      <c r="C3" s="4" t="s">
        <v>22</v>
      </c>
      <c r="D3" s="5" t="s">
        <v>23</v>
      </c>
      <c r="E3" s="6" t="s">
        <v>24</v>
      </c>
      <c r="F3" s="7" t="n">
        <v>90</v>
      </c>
      <c r="G3" s="7" t="n">
        <v>125</v>
      </c>
      <c r="H3" s="7" t="n">
        <v>180</v>
      </c>
      <c r="I3" s="2" t="s">
        <v>25</v>
      </c>
      <c r="J3" s="2" t="s">
        <v>19</v>
      </c>
      <c r="K3" s="8" t="s">
        <v>20</v>
      </c>
      <c r="L3" s="9" t="n">
        <f aca="false">H3-F3</f>
        <v>90</v>
      </c>
      <c r="M3" s="10" t="n">
        <f aca="false">IF(L3=0, 0.5, (G3-F3)/L3)</f>
        <v>0.388888888888889</v>
      </c>
      <c r="N3" s="11" t="s">
        <v>26</v>
      </c>
    </row>
    <row r="4" customFormat="false" ht="15" hidden="false" customHeight="false" outlineLevel="0" collapsed="false">
      <c r="A4" s="2" t="n">
        <v>3</v>
      </c>
      <c r="B4" s="3" t="s">
        <v>14</v>
      </c>
      <c r="C4" s="4" t="s">
        <v>27</v>
      </c>
      <c r="D4" s="5" t="s">
        <v>28</v>
      </c>
      <c r="E4" s="6" t="s">
        <v>29</v>
      </c>
      <c r="F4" s="7" t="n">
        <v>7</v>
      </c>
      <c r="G4" s="7" t="n">
        <v>9.8</v>
      </c>
      <c r="H4" s="7" t="n">
        <v>13</v>
      </c>
      <c r="I4" s="2" t="s">
        <v>30</v>
      </c>
      <c r="J4" s="2" t="s">
        <v>19</v>
      </c>
      <c r="K4" s="8" t="s">
        <v>20</v>
      </c>
      <c r="L4" s="9" t="n">
        <f aca="false">H4-F4</f>
        <v>6</v>
      </c>
      <c r="M4" s="10" t="n">
        <f aca="false">IF(L4=0, 0.5, (G4-F4)/L4)</f>
        <v>0.466666666666667</v>
      </c>
      <c r="N4" s="11" t="s">
        <v>31</v>
      </c>
    </row>
    <row r="5" customFormat="false" ht="15" hidden="false" customHeight="false" outlineLevel="0" collapsed="false">
      <c r="A5" s="2" t="n">
        <v>4</v>
      </c>
      <c r="B5" s="3" t="s">
        <v>14</v>
      </c>
      <c r="C5" s="4" t="s">
        <v>32</v>
      </c>
      <c r="D5" s="5" t="s">
        <v>33</v>
      </c>
      <c r="E5" s="6" t="s">
        <v>34</v>
      </c>
      <c r="F5" s="7" t="n">
        <v>0.15</v>
      </c>
      <c r="G5" s="7" t="n">
        <v>0.3</v>
      </c>
      <c r="H5" s="7" t="n">
        <v>0.5</v>
      </c>
      <c r="I5" s="2" t="s">
        <v>30</v>
      </c>
      <c r="J5" s="2" t="s">
        <v>19</v>
      </c>
      <c r="K5" s="8" t="s">
        <v>20</v>
      </c>
      <c r="L5" s="9" t="n">
        <f aca="false">H5-F5</f>
        <v>0.35</v>
      </c>
      <c r="M5" s="10" t="n">
        <f aca="false">IF(L5=0, 0.5, (G5-F5)/L5)</f>
        <v>0.428571428571429</v>
      </c>
      <c r="N5" s="11" t="s">
        <v>35</v>
      </c>
    </row>
    <row r="6" customFormat="false" ht="15" hidden="false" customHeight="false" outlineLevel="0" collapsed="false">
      <c r="A6" s="2" t="n">
        <v>5</v>
      </c>
      <c r="B6" s="3" t="s">
        <v>14</v>
      </c>
      <c r="C6" s="4" t="s">
        <v>36</v>
      </c>
      <c r="D6" s="5" t="s">
        <v>37</v>
      </c>
      <c r="E6" s="6" t="s">
        <v>38</v>
      </c>
      <c r="F6" s="7" t="n">
        <v>20</v>
      </c>
      <c r="G6" s="7" t="n">
        <v>30</v>
      </c>
      <c r="H6" s="7" t="n">
        <v>45</v>
      </c>
      <c r="I6" s="2" t="s">
        <v>39</v>
      </c>
      <c r="J6" s="2" t="s">
        <v>19</v>
      </c>
      <c r="K6" s="8" t="s">
        <v>20</v>
      </c>
      <c r="L6" s="9" t="n">
        <f aca="false">H6-F6</f>
        <v>25</v>
      </c>
      <c r="M6" s="10" t="n">
        <f aca="false">IF(L6=0, 0.5, (G6-F6)/L6)</f>
        <v>0.4</v>
      </c>
      <c r="N6" s="11" t="s">
        <v>40</v>
      </c>
    </row>
    <row r="7" customFormat="false" ht="15" hidden="false" customHeight="false" outlineLevel="0" collapsed="false">
      <c r="A7" s="2" t="n">
        <v>6</v>
      </c>
      <c r="B7" s="3" t="s">
        <v>14</v>
      </c>
      <c r="C7" s="4" t="s">
        <v>41</v>
      </c>
      <c r="D7" s="5" t="s">
        <v>42</v>
      </c>
      <c r="E7" s="6" t="s">
        <v>43</v>
      </c>
      <c r="F7" s="7" t="n">
        <v>2</v>
      </c>
      <c r="G7" s="7" t="n">
        <v>5</v>
      </c>
      <c r="H7" s="7" t="n">
        <v>8</v>
      </c>
      <c r="I7" s="2" t="s">
        <v>39</v>
      </c>
      <c r="J7" s="2" t="s">
        <v>19</v>
      </c>
      <c r="K7" s="8" t="s">
        <v>20</v>
      </c>
      <c r="L7" s="9" t="n">
        <f aca="false">H7-F7</f>
        <v>6</v>
      </c>
      <c r="M7" s="10" t="n">
        <f aca="false">IF(L7=0, 0.5, (G7-F7)/L7)</f>
        <v>0.5</v>
      </c>
      <c r="N7" s="11" t="s">
        <v>44</v>
      </c>
    </row>
    <row r="8" customFormat="false" ht="15" hidden="false" customHeight="false" outlineLevel="0" collapsed="false">
      <c r="A8" s="2" t="n">
        <v>7</v>
      </c>
      <c r="B8" s="3" t="s">
        <v>14</v>
      </c>
      <c r="C8" s="4" t="s">
        <v>45</v>
      </c>
      <c r="D8" s="5" t="s">
        <v>46</v>
      </c>
      <c r="E8" s="6" t="s">
        <v>47</v>
      </c>
      <c r="F8" s="7" t="n">
        <v>0</v>
      </c>
      <c r="G8" s="7" t="n">
        <v>2</v>
      </c>
      <c r="H8" s="7" t="n">
        <v>5</v>
      </c>
      <c r="I8" s="2" t="s">
        <v>39</v>
      </c>
      <c r="J8" s="2" t="s">
        <v>19</v>
      </c>
      <c r="K8" s="8" t="s">
        <v>20</v>
      </c>
      <c r="L8" s="9" t="n">
        <f aca="false">H8-F8</f>
        <v>5</v>
      </c>
      <c r="M8" s="10" t="n">
        <f aca="false">IF(L8=0, 0.5, (G8-F8)/L8)</f>
        <v>0.4</v>
      </c>
      <c r="N8" s="11" t="s">
        <v>48</v>
      </c>
    </row>
    <row r="9" customFormat="false" ht="15" hidden="false" customHeight="false" outlineLevel="0" collapsed="false">
      <c r="A9" s="2" t="n">
        <v>8</v>
      </c>
      <c r="B9" s="3" t="s">
        <v>14</v>
      </c>
      <c r="C9" s="4" t="s">
        <v>49</v>
      </c>
      <c r="D9" s="5" t="s">
        <v>50</v>
      </c>
      <c r="E9" s="6" t="s">
        <v>51</v>
      </c>
      <c r="F9" s="7" t="n">
        <v>-5</v>
      </c>
      <c r="G9" s="7" t="n">
        <v>-2</v>
      </c>
      <c r="H9" s="7" t="n">
        <v>0</v>
      </c>
      <c r="I9" s="2" t="s">
        <v>39</v>
      </c>
      <c r="J9" s="2" t="s">
        <v>19</v>
      </c>
      <c r="K9" s="8" t="s">
        <v>20</v>
      </c>
      <c r="L9" s="9" t="n">
        <f aca="false">H9-F9</f>
        <v>5</v>
      </c>
      <c r="M9" s="10" t="n">
        <f aca="false">IF(L9=0, 0.5, (G9-F9)/L9)</f>
        <v>0.6</v>
      </c>
      <c r="N9" s="11" t="s">
        <v>52</v>
      </c>
    </row>
    <row r="10" customFormat="false" ht="15" hidden="false" customHeight="false" outlineLevel="0" collapsed="false">
      <c r="A10" s="2" t="n">
        <v>9</v>
      </c>
      <c r="B10" s="3" t="s">
        <v>14</v>
      </c>
      <c r="C10" s="4" t="s">
        <v>53</v>
      </c>
      <c r="D10" s="5" t="s">
        <v>54</v>
      </c>
      <c r="E10" s="6" t="s">
        <v>55</v>
      </c>
      <c r="F10" s="7" t="n">
        <v>0.25</v>
      </c>
      <c r="G10" s="7" t="n">
        <v>0.37</v>
      </c>
      <c r="H10" s="7" t="n">
        <v>0.5</v>
      </c>
      <c r="I10" s="2" t="s">
        <v>30</v>
      </c>
      <c r="J10" s="2" t="s">
        <v>19</v>
      </c>
      <c r="K10" s="8" t="s">
        <v>20</v>
      </c>
      <c r="L10" s="9" t="n">
        <f aca="false">H10-F10</f>
        <v>0.25</v>
      </c>
      <c r="M10" s="10" t="n">
        <f aca="false">IF(L10=0, 0.5, (G10-F10)/L10)</f>
        <v>0.48</v>
      </c>
      <c r="N10" s="11" t="s">
        <v>56</v>
      </c>
    </row>
    <row r="11" customFormat="false" ht="15" hidden="false" customHeight="false" outlineLevel="0" collapsed="false">
      <c r="A11" s="2" t="n">
        <v>10</v>
      </c>
      <c r="B11" s="3" t="s">
        <v>14</v>
      </c>
      <c r="C11" s="4" t="s">
        <v>57</v>
      </c>
      <c r="D11" s="5" t="s">
        <v>58</v>
      </c>
      <c r="E11" s="6" t="s">
        <v>59</v>
      </c>
      <c r="F11" s="7" t="n">
        <v>0</v>
      </c>
      <c r="G11" s="7" t="n">
        <v>0</v>
      </c>
      <c r="H11" s="7" t="n">
        <v>1</v>
      </c>
      <c r="I11" s="2" t="s">
        <v>30</v>
      </c>
      <c r="J11" s="2" t="s">
        <v>60</v>
      </c>
      <c r="K11" s="8" t="s">
        <v>20</v>
      </c>
      <c r="L11" s="9" t="n">
        <f aca="false">H11-F11</f>
        <v>1</v>
      </c>
      <c r="M11" s="10" t="n">
        <f aca="false">IF(L11=0, 0.5, (G11-F11)/L11)</f>
        <v>0</v>
      </c>
      <c r="N11" s="11" t="s">
        <v>61</v>
      </c>
    </row>
    <row r="13" customFormat="false" ht="15" hidden="false" customHeight="false" outlineLevel="0" collapsed="false">
      <c r="A13" s="2" t="n">
        <v>11</v>
      </c>
      <c r="B13" s="3" t="s">
        <v>62</v>
      </c>
      <c r="C13" s="4" t="s">
        <v>63</v>
      </c>
      <c r="D13" s="5" t="s">
        <v>64</v>
      </c>
      <c r="E13" s="6" t="s">
        <v>65</v>
      </c>
      <c r="F13" s="7" t="n">
        <v>0.1</v>
      </c>
      <c r="G13" s="7" t="n">
        <v>0.14</v>
      </c>
      <c r="H13" s="7" t="n">
        <v>0.18</v>
      </c>
      <c r="I13" s="2" t="s">
        <v>30</v>
      </c>
      <c r="J13" s="2" t="s">
        <v>19</v>
      </c>
      <c r="K13" s="8" t="s">
        <v>20</v>
      </c>
      <c r="L13" s="9" t="n">
        <f aca="false">H13-F13</f>
        <v>0.08</v>
      </c>
      <c r="M13" s="10" t="n">
        <f aca="false">IF(L13=0, 0.5, (G13-F13)/L13)</f>
        <v>0.5</v>
      </c>
      <c r="N13" s="11" t="s">
        <v>66</v>
      </c>
    </row>
    <row r="14" customFormat="false" ht="15" hidden="false" customHeight="false" outlineLevel="0" collapsed="false">
      <c r="A14" s="2" t="n">
        <v>12</v>
      </c>
      <c r="B14" s="3" t="s">
        <v>62</v>
      </c>
      <c r="C14" s="4" t="s">
        <v>67</v>
      </c>
      <c r="D14" s="5" t="s">
        <v>68</v>
      </c>
      <c r="E14" s="6" t="s">
        <v>69</v>
      </c>
      <c r="F14" s="7" t="n">
        <v>0.08</v>
      </c>
      <c r="G14" s="7" t="n">
        <v>0.11</v>
      </c>
      <c r="H14" s="7" t="n">
        <v>0.14</v>
      </c>
      <c r="I14" s="2" t="s">
        <v>30</v>
      </c>
      <c r="J14" s="2" t="s">
        <v>19</v>
      </c>
      <c r="K14" s="8" t="s">
        <v>20</v>
      </c>
      <c r="L14" s="9" t="n">
        <f aca="false">H14-F14</f>
        <v>0.06</v>
      </c>
      <c r="M14" s="10" t="n">
        <f aca="false">IF(L14=0, 0.5, (G14-F14)/L14)</f>
        <v>0.5</v>
      </c>
      <c r="N14" s="11" t="s">
        <v>70</v>
      </c>
    </row>
    <row r="15" customFormat="false" ht="15" hidden="false" customHeight="false" outlineLevel="0" collapsed="false">
      <c r="A15" s="2" t="n">
        <v>13</v>
      </c>
      <c r="B15" s="3" t="s">
        <v>62</v>
      </c>
      <c r="C15" s="4" t="s">
        <v>71</v>
      </c>
      <c r="D15" s="5" t="s">
        <v>72</v>
      </c>
      <c r="E15" s="6" t="s">
        <v>73</v>
      </c>
      <c r="F15" s="7" t="n">
        <v>0.01</v>
      </c>
      <c r="G15" s="7" t="n">
        <v>0.03</v>
      </c>
      <c r="H15" s="7" t="n">
        <v>0.05</v>
      </c>
      <c r="I15" s="2" t="s">
        <v>30</v>
      </c>
      <c r="J15" s="2" t="s">
        <v>19</v>
      </c>
      <c r="K15" s="8" t="s">
        <v>20</v>
      </c>
      <c r="L15" s="9" t="n">
        <f aca="false">H15-F15</f>
        <v>0.04</v>
      </c>
      <c r="M15" s="10" t="n">
        <f aca="false">IF(L15=0, 0.5, (G15-F15)/L15)</f>
        <v>0.5</v>
      </c>
      <c r="N15" s="11" t="s">
        <v>74</v>
      </c>
    </row>
    <row r="16" customFormat="false" ht="15" hidden="false" customHeight="false" outlineLevel="0" collapsed="false">
      <c r="A16" s="2" t="n">
        <v>14</v>
      </c>
      <c r="B16" s="3" t="s">
        <v>62</v>
      </c>
      <c r="C16" s="4" t="s">
        <v>75</v>
      </c>
      <c r="D16" s="5" t="s">
        <v>76</v>
      </c>
      <c r="E16" s="6" t="s">
        <v>77</v>
      </c>
      <c r="F16" s="7" t="n">
        <v>0.3</v>
      </c>
      <c r="G16" s="7" t="n">
        <v>0.5</v>
      </c>
      <c r="H16" s="7" t="n">
        <v>0.7</v>
      </c>
      <c r="I16" s="2" t="s">
        <v>30</v>
      </c>
      <c r="J16" s="2" t="s">
        <v>19</v>
      </c>
      <c r="K16" s="8" t="s">
        <v>20</v>
      </c>
      <c r="L16" s="9" t="n">
        <f aca="false">H16-F16</f>
        <v>0.4</v>
      </c>
      <c r="M16" s="10" t="n">
        <f aca="false">IF(L16=0, 0.5, (G16-F16)/L16)</f>
        <v>0.5</v>
      </c>
      <c r="N16" s="11" t="s">
        <v>78</v>
      </c>
    </row>
    <row r="18" customFormat="false" ht="15" hidden="false" customHeight="false" outlineLevel="0" collapsed="false">
      <c r="A18" s="2" t="n">
        <v>15</v>
      </c>
      <c r="B18" s="3" t="s">
        <v>79</v>
      </c>
      <c r="C18" s="4" t="s">
        <v>80</v>
      </c>
      <c r="D18" s="5" t="s">
        <v>81</v>
      </c>
      <c r="E18" s="6" t="s">
        <v>82</v>
      </c>
      <c r="F18" s="7" t="n">
        <v>30</v>
      </c>
      <c r="G18" s="7" t="n">
        <v>38</v>
      </c>
      <c r="H18" s="7" t="n">
        <v>50</v>
      </c>
      <c r="I18" s="2" t="s">
        <v>18</v>
      </c>
      <c r="J18" s="2" t="s">
        <v>19</v>
      </c>
      <c r="K18" s="8" t="s">
        <v>20</v>
      </c>
      <c r="L18" s="9" t="n">
        <f aca="false">H18-F18</f>
        <v>20</v>
      </c>
      <c r="M18" s="10" t="n">
        <f aca="false">IF(L18=0, 0.5, (G18-F18)/L18)</f>
        <v>0.4</v>
      </c>
      <c r="N18" s="11" t="s">
        <v>83</v>
      </c>
    </row>
    <row r="19" customFormat="false" ht="15" hidden="false" customHeight="false" outlineLevel="0" collapsed="false">
      <c r="A19" s="2" t="n">
        <v>16</v>
      </c>
      <c r="B19" s="3" t="s">
        <v>79</v>
      </c>
      <c r="C19" s="4" t="s">
        <v>84</v>
      </c>
      <c r="D19" s="5" t="s">
        <v>85</v>
      </c>
      <c r="E19" s="6" t="s">
        <v>86</v>
      </c>
      <c r="F19" s="7" t="n">
        <v>3</v>
      </c>
      <c r="G19" s="7" t="n">
        <v>4</v>
      </c>
      <c r="H19" s="7" t="n">
        <v>5.5</v>
      </c>
      <c r="I19" s="2" t="s">
        <v>18</v>
      </c>
      <c r="J19" s="2" t="s">
        <v>19</v>
      </c>
      <c r="K19" s="8" t="s">
        <v>20</v>
      </c>
      <c r="L19" s="9" t="n">
        <f aca="false">H19-F19</f>
        <v>2.5</v>
      </c>
      <c r="M19" s="10" t="n">
        <f aca="false">IF(L19=0, 0.5, (G19-F19)/L19)</f>
        <v>0.4</v>
      </c>
      <c r="N19" s="11" t="s">
        <v>87</v>
      </c>
    </row>
    <row r="20" customFormat="false" ht="15" hidden="false" customHeight="false" outlineLevel="0" collapsed="false">
      <c r="A20" s="2" t="n">
        <v>17</v>
      </c>
      <c r="B20" s="3" t="s">
        <v>79</v>
      </c>
      <c r="C20" s="4" t="s">
        <v>88</v>
      </c>
      <c r="D20" s="5" t="s">
        <v>89</v>
      </c>
      <c r="E20" s="6" t="s">
        <v>90</v>
      </c>
      <c r="F20" s="7" t="n">
        <v>1</v>
      </c>
      <c r="G20" s="7" t="n">
        <v>1.6</v>
      </c>
      <c r="H20" s="7" t="n">
        <v>2.5</v>
      </c>
      <c r="I20" s="2" t="s">
        <v>30</v>
      </c>
      <c r="J20" s="2" t="s">
        <v>19</v>
      </c>
      <c r="K20" s="8" t="s">
        <v>20</v>
      </c>
      <c r="L20" s="9" t="n">
        <f aca="false">H20-F20</f>
        <v>1.5</v>
      </c>
      <c r="M20" s="10" t="n">
        <f aca="false">IF(L20=0, 0.5, (G20-F20)/L20)</f>
        <v>0.4</v>
      </c>
      <c r="N20" s="11" t="s">
        <v>91</v>
      </c>
    </row>
    <row r="21" customFormat="false" ht="15" hidden="false" customHeight="false" outlineLevel="0" collapsed="false">
      <c r="A21" s="2" t="n">
        <v>18</v>
      </c>
      <c r="B21" s="3" t="s">
        <v>79</v>
      </c>
      <c r="C21" s="4" t="s">
        <v>92</v>
      </c>
      <c r="D21" s="5" t="s">
        <v>93</v>
      </c>
      <c r="E21" s="6" t="s">
        <v>94</v>
      </c>
      <c r="F21" s="7" t="n">
        <v>2</v>
      </c>
      <c r="G21" s="7" t="n">
        <v>3</v>
      </c>
      <c r="H21" s="7" t="n">
        <v>4</v>
      </c>
      <c r="I21" s="2" t="s">
        <v>30</v>
      </c>
      <c r="J21" s="2" t="s">
        <v>19</v>
      </c>
      <c r="K21" s="8" t="s">
        <v>20</v>
      </c>
      <c r="L21" s="9" t="n">
        <f aca="false">H21-F21</f>
        <v>2</v>
      </c>
      <c r="M21" s="10" t="n">
        <f aca="false">IF(L21=0, 0.5, (G21-F21)/L21)</f>
        <v>0.5</v>
      </c>
      <c r="N21" s="11" t="s">
        <v>95</v>
      </c>
    </row>
    <row r="22" customFormat="false" ht="15" hidden="false" customHeight="false" outlineLevel="0" collapsed="false">
      <c r="A22" s="2" t="n">
        <v>19</v>
      </c>
      <c r="B22" s="3" t="s">
        <v>79</v>
      </c>
      <c r="C22" s="4" t="s">
        <v>96</v>
      </c>
      <c r="D22" s="5" t="s">
        <v>97</v>
      </c>
      <c r="E22" s="6" t="s">
        <v>98</v>
      </c>
      <c r="F22" s="7" t="n">
        <v>4</v>
      </c>
      <c r="G22" s="7" t="n">
        <v>8</v>
      </c>
      <c r="H22" s="7" t="n">
        <v>14</v>
      </c>
      <c r="I22" s="2" t="s">
        <v>39</v>
      </c>
      <c r="J22" s="2" t="s">
        <v>19</v>
      </c>
      <c r="K22" s="8" t="s">
        <v>20</v>
      </c>
      <c r="L22" s="9" t="n">
        <f aca="false">H22-F22</f>
        <v>10</v>
      </c>
      <c r="M22" s="10" t="n">
        <f aca="false">IF(L22=0, 0.5, (G22-F22)/L22)</f>
        <v>0.4</v>
      </c>
      <c r="N22" s="11" t="s">
        <v>99</v>
      </c>
    </row>
    <row r="24" customFormat="false" ht="15" hidden="false" customHeight="false" outlineLevel="0" collapsed="false">
      <c r="A24" s="2" t="n">
        <v>20</v>
      </c>
      <c r="B24" s="3" t="s">
        <v>100</v>
      </c>
      <c r="C24" s="4" t="s">
        <v>101</v>
      </c>
      <c r="D24" s="5" t="s">
        <v>102</v>
      </c>
      <c r="E24" s="6" t="s">
        <v>103</v>
      </c>
      <c r="F24" s="7" t="n">
        <v>0.7</v>
      </c>
      <c r="G24" s="7" t="n">
        <v>1</v>
      </c>
      <c r="H24" s="7" t="n">
        <v>1.4</v>
      </c>
      <c r="I24" s="2" t="s">
        <v>30</v>
      </c>
      <c r="J24" s="2" t="s">
        <v>19</v>
      </c>
      <c r="K24" s="8" t="s">
        <v>20</v>
      </c>
      <c r="L24" s="9" t="n">
        <f aca="false">H24-F24</f>
        <v>0.7</v>
      </c>
      <c r="M24" s="10" t="n">
        <f aca="false">IF(L24=0, 0.5, (G24-F24)/L24)</f>
        <v>0.428571428571429</v>
      </c>
      <c r="N24" s="11" t="s">
        <v>104</v>
      </c>
    </row>
    <row r="25" customFormat="false" ht="15" hidden="false" customHeight="false" outlineLevel="0" collapsed="false">
      <c r="A25" s="2" t="n">
        <v>21</v>
      </c>
      <c r="B25" s="3" t="s">
        <v>100</v>
      </c>
      <c r="C25" s="4" t="s">
        <v>105</v>
      </c>
      <c r="D25" s="5" t="s">
        <v>106</v>
      </c>
      <c r="E25" s="6" t="s">
        <v>107</v>
      </c>
      <c r="F25" s="7" t="n">
        <v>0.05</v>
      </c>
      <c r="G25" s="7" t="n">
        <v>0.08</v>
      </c>
      <c r="H25" s="7" t="n">
        <v>0.12</v>
      </c>
      <c r="I25" s="2" t="s">
        <v>30</v>
      </c>
      <c r="J25" s="2" t="s">
        <v>19</v>
      </c>
      <c r="K25" s="8" t="s">
        <v>20</v>
      </c>
      <c r="L25" s="9" t="n">
        <f aca="false">H25-F25</f>
        <v>0.07</v>
      </c>
      <c r="M25" s="10" t="n">
        <f aca="false">IF(L25=0, 0.5, (G25-F25)/L25)</f>
        <v>0.428571428571429</v>
      </c>
      <c r="N25" s="11" t="s">
        <v>108</v>
      </c>
    </row>
    <row r="26" customFormat="false" ht="15" hidden="false" customHeight="false" outlineLevel="0" collapsed="false">
      <c r="A26" s="2" t="n">
        <v>22</v>
      </c>
      <c r="B26" s="3" t="s">
        <v>100</v>
      </c>
      <c r="C26" s="4" t="s">
        <v>109</v>
      </c>
      <c r="D26" s="5" t="s">
        <v>110</v>
      </c>
      <c r="E26" s="6" t="s">
        <v>111</v>
      </c>
      <c r="F26" s="7" t="n">
        <v>25</v>
      </c>
      <c r="G26" s="7" t="n">
        <v>33</v>
      </c>
      <c r="H26" s="7" t="n">
        <v>42</v>
      </c>
      <c r="I26" s="2" t="s">
        <v>39</v>
      </c>
      <c r="J26" s="2" t="s">
        <v>19</v>
      </c>
      <c r="K26" s="8" t="s">
        <v>20</v>
      </c>
      <c r="L26" s="9" t="n">
        <f aca="false">H26-F26</f>
        <v>17</v>
      </c>
      <c r="M26" s="10" t="n">
        <f aca="false">IF(L26=0, 0.5, (G26-F26)/L26)</f>
        <v>0.470588235294118</v>
      </c>
      <c r="N26" s="11" t="s">
        <v>112</v>
      </c>
    </row>
    <row r="27" customFormat="false" ht="15" hidden="false" customHeight="false" outlineLevel="0" collapsed="false">
      <c r="A27" s="2" t="n">
        <v>23</v>
      </c>
      <c r="B27" s="3" t="s">
        <v>100</v>
      </c>
      <c r="C27" s="4" t="s">
        <v>113</v>
      </c>
      <c r="D27" s="5" t="s">
        <v>114</v>
      </c>
      <c r="E27" s="6" t="s">
        <v>115</v>
      </c>
      <c r="F27" s="7" t="n">
        <v>30</v>
      </c>
      <c r="G27" s="7" t="n">
        <v>40</v>
      </c>
      <c r="H27" s="7" t="n">
        <v>50</v>
      </c>
      <c r="I27" s="2" t="s">
        <v>39</v>
      </c>
      <c r="J27" s="2" t="s">
        <v>19</v>
      </c>
      <c r="K27" s="8" t="s">
        <v>20</v>
      </c>
      <c r="L27" s="9" t="n">
        <f aca="false">H27-F27</f>
        <v>20</v>
      </c>
      <c r="M27" s="10" t="n">
        <f aca="false">IF(L27=0, 0.5, (G27-F27)/L27)</f>
        <v>0.5</v>
      </c>
      <c r="N27" s="11" t="s">
        <v>116</v>
      </c>
    </row>
    <row r="28" customFormat="false" ht="15" hidden="false" customHeight="false" outlineLevel="0" collapsed="false">
      <c r="A28" s="2" t="n">
        <v>24</v>
      </c>
      <c r="B28" s="3" t="s">
        <v>100</v>
      </c>
      <c r="C28" s="4" t="s">
        <v>117</v>
      </c>
      <c r="D28" s="5" t="s">
        <v>118</v>
      </c>
      <c r="E28" s="6" t="s">
        <v>119</v>
      </c>
      <c r="F28" s="7" t="n">
        <v>3.5</v>
      </c>
      <c r="G28" s="7" t="n">
        <v>4.5</v>
      </c>
      <c r="H28" s="7" t="n">
        <v>6</v>
      </c>
      <c r="I28" s="2" t="s">
        <v>30</v>
      </c>
      <c r="J28" s="2" t="s">
        <v>19</v>
      </c>
      <c r="K28" s="8" t="s">
        <v>20</v>
      </c>
      <c r="L28" s="9" t="n">
        <f aca="false">H28-F28</f>
        <v>2.5</v>
      </c>
      <c r="M28" s="10" t="n">
        <f aca="false">IF(L28=0, 0.5, (G28-F28)/L28)</f>
        <v>0.4</v>
      </c>
      <c r="N28" s="11" t="s">
        <v>120</v>
      </c>
    </row>
    <row r="29" customFormat="false" ht="15" hidden="false" customHeight="false" outlineLevel="0" collapsed="false">
      <c r="A29" s="2" t="n">
        <v>25</v>
      </c>
      <c r="B29" s="3" t="s">
        <v>100</v>
      </c>
      <c r="C29" s="4" t="s">
        <v>121</v>
      </c>
      <c r="D29" s="5" t="s">
        <v>122</v>
      </c>
      <c r="E29" s="6" t="s">
        <v>123</v>
      </c>
      <c r="F29" s="7" t="n">
        <v>0.4</v>
      </c>
      <c r="G29" s="7" t="n">
        <v>0.5</v>
      </c>
      <c r="H29" s="7" t="n">
        <v>0.6</v>
      </c>
      <c r="I29" s="2" t="s">
        <v>30</v>
      </c>
      <c r="J29" s="2" t="s">
        <v>19</v>
      </c>
      <c r="K29" s="8" t="s">
        <v>20</v>
      </c>
      <c r="L29" s="9" t="n">
        <f aca="false">H29-F29</f>
        <v>0.2</v>
      </c>
      <c r="M29" s="10" t="n">
        <f aca="false">IF(L29=0, 0.5, (G29-F29)/L29)</f>
        <v>0.5</v>
      </c>
      <c r="N29" s="11" t="s">
        <v>124</v>
      </c>
    </row>
    <row r="31" customFormat="false" ht="15" hidden="false" customHeight="false" outlineLevel="0" collapsed="false">
      <c r="A31" s="2" t="n">
        <v>26</v>
      </c>
      <c r="B31" s="3" t="s">
        <v>125</v>
      </c>
      <c r="C31" s="4" t="s">
        <v>126</v>
      </c>
      <c r="D31" s="5" t="s">
        <v>127</v>
      </c>
      <c r="E31" s="6" t="s">
        <v>128</v>
      </c>
      <c r="F31" s="7" t="n">
        <v>5</v>
      </c>
      <c r="G31" s="7" t="n">
        <v>9</v>
      </c>
      <c r="H31" s="7" t="n">
        <v>14</v>
      </c>
      <c r="I31" s="2" t="s">
        <v>30</v>
      </c>
      <c r="J31" s="2" t="s">
        <v>19</v>
      </c>
      <c r="K31" s="8" t="s">
        <v>20</v>
      </c>
      <c r="L31" s="9" t="n">
        <f aca="false">H31-F31</f>
        <v>9</v>
      </c>
      <c r="M31" s="10" t="n">
        <f aca="false">IF(L31=0, 0.5, (G31-F31)/L31)</f>
        <v>0.444444444444444</v>
      </c>
      <c r="N31" s="11" t="s">
        <v>129</v>
      </c>
    </row>
    <row r="32" customFormat="false" ht="15" hidden="false" customHeight="false" outlineLevel="0" collapsed="false">
      <c r="A32" s="2" t="n">
        <v>27</v>
      </c>
      <c r="B32" s="3" t="s">
        <v>125</v>
      </c>
      <c r="C32" s="4" t="s">
        <v>130</v>
      </c>
      <c r="D32" s="5" t="s">
        <v>131</v>
      </c>
      <c r="E32" s="6" t="s">
        <v>132</v>
      </c>
      <c r="F32" s="7" t="n">
        <v>0.5</v>
      </c>
      <c r="G32" s="7" t="n">
        <v>0.58</v>
      </c>
      <c r="H32" s="7" t="n">
        <v>0.7</v>
      </c>
      <c r="I32" s="2" t="s">
        <v>133</v>
      </c>
      <c r="J32" s="2" t="s">
        <v>19</v>
      </c>
      <c r="K32" s="8" t="s">
        <v>20</v>
      </c>
      <c r="L32" s="9" t="n">
        <f aca="false">H32-F32</f>
        <v>0.2</v>
      </c>
      <c r="M32" s="10" t="n">
        <f aca="false">IF(L32=0, 0.5, (G32-F32)/L32)</f>
        <v>0.4</v>
      </c>
      <c r="N32" s="11" t="s">
        <v>134</v>
      </c>
    </row>
    <row r="33" customFormat="false" ht="15" hidden="false" customHeight="false" outlineLevel="0" collapsed="false">
      <c r="A33" s="2" t="n">
        <v>28</v>
      </c>
      <c r="B33" s="3" t="s">
        <v>125</v>
      </c>
      <c r="C33" s="4" t="s">
        <v>135</v>
      </c>
      <c r="D33" s="5" t="s">
        <v>136</v>
      </c>
      <c r="E33" s="6" t="s">
        <v>137</v>
      </c>
      <c r="F33" s="7" t="n">
        <v>1.4</v>
      </c>
      <c r="G33" s="7" t="n">
        <v>1.8</v>
      </c>
      <c r="H33" s="7" t="n">
        <v>2.4</v>
      </c>
      <c r="I33" s="2" t="s">
        <v>18</v>
      </c>
      <c r="J33" s="2" t="s">
        <v>19</v>
      </c>
      <c r="K33" s="8" t="s">
        <v>20</v>
      </c>
      <c r="L33" s="9" t="n">
        <f aca="false">H33-F33</f>
        <v>1</v>
      </c>
      <c r="M33" s="10" t="n">
        <f aca="false">IF(L33=0, 0.5, (G33-F33)/L33)</f>
        <v>0.4</v>
      </c>
      <c r="N33" s="11" t="s">
        <v>138</v>
      </c>
    </row>
    <row r="34" customFormat="false" ht="15" hidden="false" customHeight="false" outlineLevel="0" collapsed="false">
      <c r="A34" s="2" t="n">
        <v>29</v>
      </c>
      <c r="B34" s="3" t="s">
        <v>125</v>
      </c>
      <c r="C34" s="4" t="s">
        <v>139</v>
      </c>
      <c r="D34" s="5" t="s">
        <v>140</v>
      </c>
      <c r="E34" s="6" t="s">
        <v>141</v>
      </c>
      <c r="F34" s="7" t="n">
        <v>0.25</v>
      </c>
      <c r="G34" s="7" t="n">
        <v>0.35</v>
      </c>
      <c r="H34" s="7" t="n">
        <v>0.45</v>
      </c>
      <c r="I34" s="2" t="s">
        <v>30</v>
      </c>
      <c r="J34" s="2" t="s">
        <v>19</v>
      </c>
      <c r="K34" s="8" t="s">
        <v>20</v>
      </c>
      <c r="L34" s="9" t="n">
        <f aca="false">H34-F34</f>
        <v>0.2</v>
      </c>
      <c r="M34" s="10" t="n">
        <f aca="false">IF(L34=0, 0.5, (G34-F34)/L34)</f>
        <v>0.5</v>
      </c>
      <c r="N34" s="11" t="s">
        <v>142</v>
      </c>
    </row>
    <row r="35" customFormat="false" ht="15" hidden="false" customHeight="false" outlineLevel="0" collapsed="false">
      <c r="A35" s="2" t="n">
        <v>30</v>
      </c>
      <c r="B35" s="3" t="s">
        <v>125</v>
      </c>
      <c r="C35" s="4" t="s">
        <v>143</v>
      </c>
      <c r="D35" s="5" t="s">
        <v>144</v>
      </c>
      <c r="E35" s="6" t="s">
        <v>145</v>
      </c>
      <c r="F35" s="12" t="n">
        <v>2</v>
      </c>
      <c r="G35" s="12" t="n">
        <v>2</v>
      </c>
      <c r="H35" s="12" t="n">
        <v>4</v>
      </c>
      <c r="I35" s="2" t="s">
        <v>30</v>
      </c>
      <c r="J35" s="2" t="s">
        <v>60</v>
      </c>
      <c r="K35" s="8" t="s">
        <v>20</v>
      </c>
      <c r="L35" s="9" t="n">
        <f aca="false">H35-F35</f>
        <v>2</v>
      </c>
      <c r="M35" s="10" t="n">
        <f aca="false">IF(L35=0, 0.5, (G35-F35)/L35)</f>
        <v>0</v>
      </c>
      <c r="N35" s="11" t="s">
        <v>146</v>
      </c>
    </row>
    <row r="37" customFormat="false" ht="15" hidden="false" customHeight="false" outlineLevel="0" collapsed="false">
      <c r="A37" s="2" t="n">
        <v>31</v>
      </c>
      <c r="B37" s="3" t="s">
        <v>147</v>
      </c>
      <c r="C37" s="4" t="s">
        <v>148</v>
      </c>
      <c r="D37" s="5" t="s">
        <v>149</v>
      </c>
      <c r="E37" s="6" t="s">
        <v>150</v>
      </c>
      <c r="F37" s="12" t="n">
        <v>2000</v>
      </c>
      <c r="G37" s="12" t="n">
        <v>3500</v>
      </c>
      <c r="H37" s="12" t="n">
        <v>6000</v>
      </c>
      <c r="I37" s="2" t="s">
        <v>151</v>
      </c>
      <c r="J37" s="2" t="s">
        <v>19</v>
      </c>
      <c r="K37" s="8" t="s">
        <v>20</v>
      </c>
      <c r="L37" s="9" t="n">
        <f aca="false">H37-F37</f>
        <v>4000</v>
      </c>
      <c r="M37" s="10" t="n">
        <f aca="false">IF(L37=0, 0.5, (G37-F37)/L37)</f>
        <v>0.375</v>
      </c>
      <c r="N37" s="11" t="s">
        <v>152</v>
      </c>
    </row>
    <row r="38" customFormat="false" ht="15" hidden="false" customHeight="false" outlineLevel="0" collapsed="false">
      <c r="A38" s="2" t="n">
        <v>32</v>
      </c>
      <c r="B38" s="3" t="s">
        <v>147</v>
      </c>
      <c r="C38" s="4" t="s">
        <v>153</v>
      </c>
      <c r="D38" s="5" t="s">
        <v>154</v>
      </c>
      <c r="E38" s="6" t="s">
        <v>155</v>
      </c>
      <c r="F38" s="7" t="n">
        <v>0.72</v>
      </c>
      <c r="G38" s="7" t="n">
        <v>0.78</v>
      </c>
      <c r="H38" s="7" t="n">
        <v>0.85</v>
      </c>
      <c r="I38" s="2" t="s">
        <v>30</v>
      </c>
      <c r="J38" s="2" t="s">
        <v>19</v>
      </c>
      <c r="K38" s="8" t="s">
        <v>20</v>
      </c>
      <c r="L38" s="9" t="n">
        <f aca="false">H38-F38</f>
        <v>0.13</v>
      </c>
      <c r="M38" s="10" t="n">
        <f aca="false">IF(L38=0, 0.5, (G38-F38)/L38)</f>
        <v>0.461538461538462</v>
      </c>
      <c r="N38" s="11" t="s">
        <v>156</v>
      </c>
    </row>
    <row r="39" customFormat="false" ht="15" hidden="false" customHeight="false" outlineLevel="0" collapsed="false">
      <c r="A39" s="2" t="n">
        <v>33</v>
      </c>
      <c r="B39" s="3" t="s">
        <v>147</v>
      </c>
      <c r="C39" s="4" t="s">
        <v>157</v>
      </c>
      <c r="D39" s="5" t="s">
        <v>158</v>
      </c>
      <c r="E39" s="6" t="s">
        <v>159</v>
      </c>
      <c r="F39" s="12" t="n">
        <v>30000</v>
      </c>
      <c r="G39" s="12" t="n">
        <v>35000</v>
      </c>
      <c r="H39" s="12" t="n">
        <v>42000</v>
      </c>
      <c r="I39" s="2" t="s">
        <v>160</v>
      </c>
      <c r="J39" s="2" t="s">
        <v>19</v>
      </c>
      <c r="K39" s="8" t="s">
        <v>20</v>
      </c>
      <c r="L39" s="9" t="n">
        <f aca="false">H39-F39</f>
        <v>12000</v>
      </c>
      <c r="M39" s="10" t="n">
        <f aca="false">IF(L39=0, 0.5, (G39-F39)/L39)</f>
        <v>0.416666666666667</v>
      </c>
      <c r="N39" s="11" t="s">
        <v>161</v>
      </c>
    </row>
    <row r="40" customFormat="false" ht="15" hidden="false" customHeight="false" outlineLevel="0" collapsed="false">
      <c r="A40" s="2" t="n">
        <v>34</v>
      </c>
      <c r="B40" s="3" t="s">
        <v>147</v>
      </c>
      <c r="C40" s="4" t="s">
        <v>162</v>
      </c>
      <c r="D40" s="5" t="s">
        <v>163</v>
      </c>
      <c r="E40" s="6" t="s">
        <v>164</v>
      </c>
      <c r="F40" s="12" t="n">
        <v>12000</v>
      </c>
      <c r="G40" s="12" t="n">
        <v>18000</v>
      </c>
      <c r="H40" s="12" t="n">
        <v>28000</v>
      </c>
      <c r="I40" s="2" t="s">
        <v>165</v>
      </c>
      <c r="J40" s="2" t="s">
        <v>19</v>
      </c>
      <c r="K40" s="8" t="s">
        <v>20</v>
      </c>
      <c r="L40" s="9" t="n">
        <f aca="false">H40-F40</f>
        <v>16000</v>
      </c>
      <c r="M40" s="10" t="n">
        <f aca="false">IF(L40=0, 0.5, (G40-F40)/L40)</f>
        <v>0.375</v>
      </c>
      <c r="N40" s="11" t="s">
        <v>166</v>
      </c>
    </row>
    <row r="42" customFormat="false" ht="15" hidden="false" customHeight="false" outlineLevel="0" collapsed="false">
      <c r="A42" s="13" t="s">
        <v>167</v>
      </c>
    </row>
    <row r="43" customFormat="false" ht="15" hidden="false" customHeight="false" outlineLevel="0" collapsed="false">
      <c r="B43" s="14" t="s">
        <v>168</v>
      </c>
      <c r="C43" s="15" t="n">
        <f aca="false">COUNTIF(K2:K40,"YES")</f>
        <v>34</v>
      </c>
    </row>
    <row r="44" customFormat="false" ht="15" hidden="false" customHeight="false" outlineLevel="0" collapsed="false">
      <c r="B44" s="14" t="s">
        <v>169</v>
      </c>
      <c r="C44" s="16" t="n">
        <v>34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7" t="s">
        <v>170</v>
      </c>
      <c r="B1" s="17" t="s">
        <v>171</v>
      </c>
      <c r="C1" s="17" t="s">
        <v>4</v>
      </c>
    </row>
    <row r="2" customFormat="false" ht="15" hidden="false" customHeight="false" outlineLevel="0" collapsed="false">
      <c r="A2" s="18" t="s">
        <v>172</v>
      </c>
      <c r="B2" s="19" t="s">
        <v>173</v>
      </c>
      <c r="C2" s="11" t="s">
        <v>174</v>
      </c>
    </row>
    <row r="3" customFormat="false" ht="15" hidden="false" customHeight="false" outlineLevel="0" collapsed="false">
      <c r="A3" s="18" t="s">
        <v>175</v>
      </c>
      <c r="B3" s="19" t="n">
        <v>500</v>
      </c>
      <c r="C3" s="11" t="s">
        <v>176</v>
      </c>
    </row>
    <row r="4" customFormat="false" ht="15" hidden="false" customHeight="false" outlineLevel="0" collapsed="false">
      <c r="A4" s="18" t="s">
        <v>177</v>
      </c>
      <c r="B4" s="19" t="n">
        <v>42</v>
      </c>
      <c r="C4" s="11" t="s">
        <v>178</v>
      </c>
    </row>
    <row r="5" customFormat="false" ht="15" hidden="false" customHeight="false" outlineLevel="0" collapsed="false">
      <c r="A5" s="18" t="s">
        <v>179</v>
      </c>
      <c r="B5" s="19" t="s">
        <v>180</v>
      </c>
      <c r="C5" s="11" t="s">
        <v>181</v>
      </c>
    </row>
    <row r="6" customFormat="false" ht="15" hidden="false" customHeight="false" outlineLevel="0" collapsed="false">
      <c r="A6" s="18"/>
      <c r="B6" s="2"/>
      <c r="C6" s="11"/>
    </row>
    <row r="7" customFormat="false" ht="15" hidden="false" customHeight="false" outlineLevel="0" collapsed="false">
      <c r="A7" s="4" t="s">
        <v>182</v>
      </c>
      <c r="B7" s="2"/>
      <c r="C7" s="11"/>
    </row>
    <row r="8" customFormat="false" ht="15" hidden="false" customHeight="false" outlineLevel="0" collapsed="false">
      <c r="A8" s="18" t="s">
        <v>183</v>
      </c>
      <c r="B8" s="19" t="n">
        <v>5</v>
      </c>
      <c r="C8" s="11" t="s">
        <v>184</v>
      </c>
    </row>
    <row r="9" customFormat="false" ht="15" hidden="false" customHeight="false" outlineLevel="0" collapsed="false">
      <c r="A9" s="18" t="s">
        <v>185</v>
      </c>
      <c r="B9" s="19" t="n">
        <v>25</v>
      </c>
      <c r="C9" s="11" t="s">
        <v>186</v>
      </c>
    </row>
    <row r="10" customFormat="false" ht="15" hidden="false" customHeight="false" outlineLevel="0" collapsed="false">
      <c r="A10" s="18" t="s">
        <v>187</v>
      </c>
      <c r="B10" s="19" t="n">
        <v>300</v>
      </c>
      <c r="C10" s="11" t="s">
        <v>188</v>
      </c>
    </row>
    <row r="11" customFormat="false" ht="15" hidden="false" customHeight="false" outlineLevel="0" collapsed="false">
      <c r="A11" s="18" t="s">
        <v>189</v>
      </c>
      <c r="B11" s="19" t="n">
        <v>700</v>
      </c>
      <c r="C11" s="11" t="s">
        <v>190</v>
      </c>
    </row>
    <row r="12" customFormat="false" ht="15" hidden="false" customHeight="false" outlineLevel="0" collapsed="false">
      <c r="A12" s="18" t="s">
        <v>191</v>
      </c>
      <c r="B12" s="19" t="n">
        <v>0.25</v>
      </c>
      <c r="C12" s="11" t="s">
        <v>192</v>
      </c>
    </row>
    <row r="13" customFormat="false" ht="15" hidden="false" customHeight="false" outlineLevel="0" collapsed="false">
      <c r="A13" s="18" t="s">
        <v>193</v>
      </c>
      <c r="B13" s="19" t="n">
        <v>0.4</v>
      </c>
      <c r="C13" s="11" t="s">
        <v>194</v>
      </c>
    </row>
    <row r="14" customFormat="false" ht="15" hidden="false" customHeight="false" outlineLevel="0" collapsed="false">
      <c r="A14" s="18" t="s">
        <v>195</v>
      </c>
      <c r="B14" s="19" t="n">
        <v>0.85</v>
      </c>
      <c r="C14" s="11" t="s">
        <v>196</v>
      </c>
    </row>
    <row r="15" customFormat="false" ht="15" hidden="false" customHeight="false" outlineLevel="0" collapsed="false">
      <c r="A15" s="18" t="s">
        <v>197</v>
      </c>
      <c r="B15" s="19" t="n">
        <v>14</v>
      </c>
      <c r="C15" s="11" t="s">
        <v>198</v>
      </c>
    </row>
    <row r="16" customFormat="false" ht="15" hidden="false" customHeight="false" outlineLevel="0" collapsed="false">
      <c r="A16" s="18" t="s">
        <v>199</v>
      </c>
      <c r="B16" s="19" t="n">
        <v>1.2</v>
      </c>
      <c r="C16" s="11" t="s">
        <v>200</v>
      </c>
    </row>
    <row r="17" customFormat="false" ht="15" hidden="false" customHeight="false" outlineLevel="0" collapsed="false">
      <c r="A17" s="18" t="s">
        <v>201</v>
      </c>
      <c r="B17" s="19" t="n">
        <v>0.7</v>
      </c>
      <c r="C17" s="11" t="s">
        <v>202</v>
      </c>
    </row>
    <row r="18" customFormat="false" ht="15" hidden="false" customHeight="false" outlineLevel="0" collapsed="false">
      <c r="A18" s="18"/>
      <c r="B18" s="2"/>
      <c r="C18" s="11"/>
    </row>
    <row r="19" customFormat="false" ht="15" hidden="false" customHeight="false" outlineLevel="0" collapsed="false">
      <c r="A19" s="4" t="s">
        <v>203</v>
      </c>
      <c r="B19" s="2"/>
      <c r="C19" s="11"/>
    </row>
    <row r="20" customFormat="false" ht="15" hidden="false" customHeight="false" outlineLevel="0" collapsed="false">
      <c r="A20" s="18" t="s">
        <v>204</v>
      </c>
      <c r="B20" s="19" t="s">
        <v>205</v>
      </c>
      <c r="C20" s="11" t="s">
        <v>206</v>
      </c>
    </row>
    <row r="21" customFormat="false" ht="15" hidden="false" customHeight="false" outlineLevel="0" collapsed="false">
      <c r="A21" s="18" t="s">
        <v>207</v>
      </c>
      <c r="B21" s="19" t="n">
        <v>75</v>
      </c>
      <c r="C21" s="11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20" t="s">
        <v>0</v>
      </c>
      <c r="B1" s="20" t="s">
        <v>209</v>
      </c>
      <c r="C1" s="20" t="s">
        <v>210</v>
      </c>
      <c r="D1" s="20" t="s">
        <v>211</v>
      </c>
      <c r="E1" s="20" t="s">
        <v>212</v>
      </c>
      <c r="F1" s="20" t="s">
        <v>8</v>
      </c>
      <c r="G1" s="20" t="s">
        <v>213</v>
      </c>
      <c r="H1" s="20" t="s">
        <v>214</v>
      </c>
    </row>
    <row r="2" customFormat="false" ht="15" hidden="false" customHeight="false" outlineLevel="0" collapsed="false">
      <c r="A2" s="2" t="n">
        <v>1</v>
      </c>
      <c r="B2" s="4" t="s">
        <v>215</v>
      </c>
      <c r="C2" s="6" t="s">
        <v>216</v>
      </c>
      <c r="D2" s="21" t="s">
        <v>217</v>
      </c>
      <c r="E2" s="19" t="s">
        <v>218</v>
      </c>
      <c r="F2" s="2" t="s">
        <v>219</v>
      </c>
      <c r="G2" s="22" t="s">
        <v>20</v>
      </c>
      <c r="H2" s="2" t="n">
        <v>1</v>
      </c>
    </row>
    <row r="3" customFormat="false" ht="15" hidden="false" customHeight="false" outlineLevel="0" collapsed="false">
      <c r="A3" s="2" t="n">
        <v>2</v>
      </c>
      <c r="B3" s="4" t="s">
        <v>220</v>
      </c>
      <c r="C3" s="6" t="s">
        <v>221</v>
      </c>
      <c r="D3" s="21" t="s">
        <v>222</v>
      </c>
      <c r="E3" s="19" t="s">
        <v>223</v>
      </c>
      <c r="F3" s="2" t="s">
        <v>224</v>
      </c>
      <c r="G3" s="22" t="s">
        <v>20</v>
      </c>
      <c r="H3" s="2" t="n">
        <v>1</v>
      </c>
    </row>
    <row r="4" customFormat="false" ht="15" hidden="false" customHeight="false" outlineLevel="0" collapsed="false">
      <c r="A4" s="2" t="n">
        <v>3</v>
      </c>
      <c r="B4" s="4" t="s">
        <v>225</v>
      </c>
      <c r="C4" s="6" t="s">
        <v>226</v>
      </c>
      <c r="D4" s="21" t="s">
        <v>227</v>
      </c>
      <c r="E4" s="19" t="s">
        <v>228</v>
      </c>
      <c r="F4" s="2" t="s">
        <v>30</v>
      </c>
      <c r="G4" s="22" t="s">
        <v>20</v>
      </c>
      <c r="H4" s="2" t="n">
        <v>1</v>
      </c>
    </row>
    <row r="5" customFormat="false" ht="15" hidden="false" customHeight="false" outlineLevel="0" collapsed="false">
      <c r="A5" s="2" t="n">
        <v>4</v>
      </c>
      <c r="B5" s="4" t="s">
        <v>229</v>
      </c>
      <c r="C5" s="6" t="s">
        <v>230</v>
      </c>
      <c r="D5" s="21" t="s">
        <v>231</v>
      </c>
      <c r="E5" s="19" t="s">
        <v>232</v>
      </c>
      <c r="F5" s="2" t="s">
        <v>30</v>
      </c>
      <c r="G5" s="22" t="s">
        <v>20</v>
      </c>
      <c r="H5" s="2" t="n">
        <v>2</v>
      </c>
    </row>
    <row r="6" customFormat="false" ht="15" hidden="false" customHeight="false" outlineLevel="0" collapsed="false">
      <c r="A6" s="2" t="n">
        <v>5</v>
      </c>
      <c r="B6" s="4" t="s">
        <v>233</v>
      </c>
      <c r="C6" s="6" t="s">
        <v>221</v>
      </c>
      <c r="D6" s="21" t="s">
        <v>234</v>
      </c>
      <c r="E6" s="19" t="s">
        <v>235</v>
      </c>
      <c r="F6" s="2" t="s">
        <v>236</v>
      </c>
      <c r="G6" s="22" t="s">
        <v>20</v>
      </c>
      <c r="H6" s="2" t="n">
        <v>1</v>
      </c>
    </row>
    <row r="7" customFormat="false" ht="15" hidden="false" customHeight="false" outlineLevel="0" collapsed="false">
      <c r="A7" s="2" t="n">
        <v>6</v>
      </c>
      <c r="B7" s="4" t="s">
        <v>237</v>
      </c>
      <c r="C7" s="6" t="s">
        <v>221</v>
      </c>
      <c r="D7" s="21" t="s">
        <v>238</v>
      </c>
      <c r="E7" s="19" t="s">
        <v>239</v>
      </c>
      <c r="F7" s="2" t="s">
        <v>30</v>
      </c>
      <c r="G7" s="22" t="s">
        <v>20</v>
      </c>
      <c r="H7" s="2" t="n">
        <v>2</v>
      </c>
    </row>
    <row r="8" customFormat="false" ht="15" hidden="false" customHeight="false" outlineLevel="0" collapsed="false">
      <c r="A8" s="2" t="n">
        <v>7</v>
      </c>
      <c r="B8" s="4" t="s">
        <v>240</v>
      </c>
      <c r="C8" s="6" t="s">
        <v>241</v>
      </c>
      <c r="D8" s="21" t="s">
        <v>242</v>
      </c>
      <c r="E8" s="19" t="s">
        <v>243</v>
      </c>
      <c r="F8" s="2" t="s">
        <v>30</v>
      </c>
      <c r="G8" s="22" t="s">
        <v>20</v>
      </c>
      <c r="H8" s="2" t="n">
        <v>3</v>
      </c>
    </row>
    <row r="9" customFormat="false" ht="15" hidden="false" customHeight="false" outlineLevel="0" collapsed="false">
      <c r="A9" s="2" t="n">
        <v>8</v>
      </c>
      <c r="B9" s="4" t="s">
        <v>244</v>
      </c>
      <c r="C9" s="6" t="s">
        <v>226</v>
      </c>
      <c r="D9" s="21" t="s">
        <v>245</v>
      </c>
      <c r="E9" s="19" t="s">
        <v>246</v>
      </c>
      <c r="F9" s="2" t="s">
        <v>30</v>
      </c>
      <c r="G9" s="22" t="s">
        <v>20</v>
      </c>
      <c r="H9" s="2" t="n">
        <v>2</v>
      </c>
    </row>
    <row r="10" customFormat="false" ht="15" hidden="false" customHeight="false" outlineLevel="0" collapsed="false">
      <c r="A10" s="2" t="n">
        <v>9</v>
      </c>
      <c r="B10" s="4" t="s">
        <v>247</v>
      </c>
      <c r="C10" s="6" t="s">
        <v>230</v>
      </c>
      <c r="D10" s="21" t="s">
        <v>248</v>
      </c>
      <c r="E10" s="19" t="s">
        <v>249</v>
      </c>
      <c r="F10" s="2" t="s">
        <v>30</v>
      </c>
      <c r="G10" s="8" t="s">
        <v>250</v>
      </c>
      <c r="H10" s="2" t="n">
        <v>3</v>
      </c>
    </row>
    <row r="11" customFormat="false" ht="15" hidden="false" customHeight="false" outlineLevel="0" collapsed="false">
      <c r="A11" s="2" t="n">
        <v>10</v>
      </c>
      <c r="B11" s="4" t="s">
        <v>251</v>
      </c>
      <c r="C11" s="6" t="s">
        <v>252</v>
      </c>
      <c r="D11" s="21" t="s">
        <v>253</v>
      </c>
      <c r="E11" s="19" t="s">
        <v>254</v>
      </c>
      <c r="F11" s="2" t="s">
        <v>151</v>
      </c>
      <c r="G11" s="22" t="s">
        <v>20</v>
      </c>
      <c r="H11" s="2" t="n">
        <v>1</v>
      </c>
    </row>
    <row r="12" customFormat="false" ht="15" hidden="false" customHeight="false" outlineLevel="0" collapsed="false">
      <c r="A12" s="2" t="n">
        <v>11</v>
      </c>
      <c r="B12" s="4" t="s">
        <v>255</v>
      </c>
      <c r="C12" s="6" t="s">
        <v>226</v>
      </c>
      <c r="D12" s="21" t="s">
        <v>256</v>
      </c>
      <c r="E12" s="19" t="s">
        <v>257</v>
      </c>
      <c r="F12" s="2" t="s">
        <v>39</v>
      </c>
      <c r="G12" s="8" t="s">
        <v>250</v>
      </c>
      <c r="H12" s="2" t="n">
        <v>3</v>
      </c>
    </row>
    <row r="13" customFormat="false" ht="15" hidden="false" customHeight="false" outlineLevel="0" collapsed="false">
      <c r="A13" s="2" t="n">
        <v>12</v>
      </c>
      <c r="B13" s="4" t="s">
        <v>258</v>
      </c>
      <c r="C13" s="6" t="s">
        <v>221</v>
      </c>
      <c r="D13" s="21" t="s">
        <v>259</v>
      </c>
      <c r="E13" s="19" t="s">
        <v>260</v>
      </c>
      <c r="F13" s="2" t="s">
        <v>18</v>
      </c>
      <c r="G13" s="22" t="s">
        <v>20</v>
      </c>
      <c r="H13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23" t="s">
        <v>261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262</v>
      </c>
    </row>
    <row r="4" customFormat="false" ht="15" hidden="false" customHeight="false" outlineLevel="0" collapsed="false">
      <c r="A4" s="24"/>
    </row>
    <row r="5" customFormat="false" ht="15" hidden="false" customHeight="false" outlineLevel="0" collapsed="false">
      <c r="A5" s="26" t="s">
        <v>263</v>
      </c>
    </row>
    <row r="6" customFormat="false" ht="15" hidden="false" customHeight="false" outlineLevel="0" collapsed="false">
      <c r="A6" s="24" t="s">
        <v>264</v>
      </c>
    </row>
    <row r="7" customFormat="false" ht="15" hidden="false" customHeight="false" outlineLevel="0" collapsed="false">
      <c r="A7" s="24" t="s">
        <v>265</v>
      </c>
    </row>
    <row r="8" customFormat="false" ht="15" hidden="false" customHeight="false" outlineLevel="0" collapsed="false">
      <c r="A8" s="24" t="s">
        <v>266</v>
      </c>
    </row>
    <row r="9" customFormat="false" ht="15" hidden="false" customHeight="false" outlineLevel="0" collapsed="false">
      <c r="A9" s="24" t="s">
        <v>267</v>
      </c>
    </row>
    <row r="10" customFormat="false" ht="15" hidden="false" customHeight="false" outlineLevel="0" collapsed="false">
      <c r="A10" s="24"/>
    </row>
    <row r="11" customFormat="false" ht="15" hidden="false" customHeight="false" outlineLevel="0" collapsed="false">
      <c r="A11" s="26" t="s">
        <v>268</v>
      </c>
    </row>
    <row r="12" customFormat="false" ht="15" hidden="false" customHeight="false" outlineLevel="0" collapsed="false">
      <c r="A12" s="24" t="s">
        <v>269</v>
      </c>
    </row>
    <row r="13" customFormat="false" ht="15" hidden="false" customHeight="false" outlineLevel="0" collapsed="false">
      <c r="A13" s="24" t="s">
        <v>270</v>
      </c>
    </row>
    <row r="14" customFormat="false" ht="15" hidden="false" customHeight="false" outlineLevel="0" collapsed="false">
      <c r="A14" s="24"/>
    </row>
    <row r="15" customFormat="false" ht="15" hidden="false" customHeight="false" outlineLevel="0" collapsed="false">
      <c r="A15" s="26" t="s">
        <v>271</v>
      </c>
    </row>
    <row r="16" customFormat="false" ht="15" hidden="false" customHeight="false" outlineLevel="0" collapsed="false">
      <c r="A16" s="24" t="s">
        <v>272</v>
      </c>
    </row>
    <row r="17" customFormat="false" ht="15" hidden="false" customHeight="false" outlineLevel="0" collapsed="false">
      <c r="A17" s="24" t="s">
        <v>273</v>
      </c>
    </row>
    <row r="18" customFormat="false" ht="15" hidden="false" customHeight="false" outlineLevel="0" collapsed="false">
      <c r="A18" s="24"/>
    </row>
    <row r="19" customFormat="false" ht="15" hidden="false" customHeight="false" outlineLevel="0" collapsed="false">
      <c r="A19" s="26" t="s">
        <v>274</v>
      </c>
    </row>
    <row r="20" customFormat="false" ht="15" hidden="false" customHeight="false" outlineLevel="0" collapsed="false">
      <c r="A20" s="24" t="s">
        <v>275</v>
      </c>
    </row>
    <row r="21" customFormat="false" ht="15" hidden="false" customHeight="false" outlineLevel="0" collapsed="false">
      <c r="A21" s="24" t="s">
        <v>276</v>
      </c>
    </row>
    <row r="22" customFormat="false" ht="15" hidden="false" customHeight="false" outlineLevel="0" collapsed="false">
      <c r="A22" s="24" t="s">
        <v>277</v>
      </c>
    </row>
    <row r="23" customFormat="false" ht="15" hidden="false" customHeight="false" outlineLevel="0" collapsed="false">
      <c r="A23" s="24" t="s">
        <v>278</v>
      </c>
    </row>
    <row r="24" customFormat="false" ht="15" hidden="false" customHeight="false" outlineLevel="0" collapsed="false">
      <c r="A24" s="24"/>
    </row>
    <row r="25" customFormat="false" ht="15" hidden="false" customHeight="false" outlineLevel="0" collapsed="false">
      <c r="A25" s="25" t="s">
        <v>279</v>
      </c>
    </row>
    <row r="26" customFormat="false" ht="15" hidden="false" customHeight="false" outlineLevel="0" collapsed="false">
      <c r="A26" s="24" t="s">
        <v>280</v>
      </c>
    </row>
    <row r="27" customFormat="false" ht="15" hidden="false" customHeight="false" outlineLevel="0" collapsed="false">
      <c r="A27" s="24" t="s">
        <v>281</v>
      </c>
    </row>
    <row r="28" customFormat="false" ht="15" hidden="false" customHeight="false" outlineLevel="0" collapsed="false">
      <c r="A28" s="24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2026-02-24T14:31:51Z</dcterms:created>
  <dc:creator>openpyxl</dc:creator>
  <dc:description/>
  <dc:language>en-US</dc:language>
  <cp:lastModifiedBy/>
  <dcterms:modified xsi:type="dcterms:W3CDTF">2026-02-24T14:31:51Z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